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Tracker" sheetId="1" r:id="rId5"/>
    <sheet state="visible" name="weekly Tracker" sheetId="2" r:id="rId6"/>
    <sheet state="visible" name="MOnthly Tracker" sheetId="3" r:id="rId7"/>
  </sheets>
  <definedNames/>
  <calcPr/>
</workbook>
</file>

<file path=xl/sharedStrings.xml><?xml version="1.0" encoding="utf-8"?>
<sst xmlns="http://schemas.openxmlformats.org/spreadsheetml/2006/main" count="293" uniqueCount="97">
  <si>
    <t>Week</t>
  </si>
  <si>
    <t>Date</t>
  </si>
  <si>
    <t>Start Date</t>
  </si>
  <si>
    <t>End Date</t>
  </si>
  <si>
    <t>New Members</t>
  </si>
  <si>
    <t>Members Left</t>
  </si>
  <si>
    <t>Active Members</t>
  </si>
  <si>
    <t>Posts</t>
  </si>
  <si>
    <t>Reactions</t>
  </si>
  <si>
    <t>Questions Asked</t>
  </si>
  <si>
    <t>Resources Shared</t>
  </si>
  <si>
    <t>Events Held</t>
  </si>
  <si>
    <t>Event Attendance</t>
  </si>
  <si>
    <t>week 1</t>
  </si>
  <si>
    <t>Months</t>
  </si>
  <si>
    <t>MONDAY</t>
  </si>
  <si>
    <t>TUESDAY</t>
  </si>
  <si>
    <t>WEDNESDAY</t>
  </si>
  <si>
    <t>THURSDAY</t>
  </si>
  <si>
    <t>FRIDAY</t>
  </si>
  <si>
    <t>July</t>
  </si>
  <si>
    <t>SATURDAY</t>
  </si>
  <si>
    <t>SUNDAY</t>
  </si>
  <si>
    <t>week 2</t>
  </si>
  <si>
    <t>August</t>
  </si>
  <si>
    <t>September</t>
  </si>
  <si>
    <t>week 3</t>
  </si>
  <si>
    <t>October</t>
  </si>
  <si>
    <t>November</t>
  </si>
  <si>
    <t>December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</si>
  <si>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</si>
  <si>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</si>
  <si>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</si>
  <si>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</si>
  <si>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</si>
  <si>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</si>
  <si>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</si>
  <si>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</si>
  <si>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</si>
  <si>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</si>
  <si>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</si>
  <si>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</si>
  <si>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</si>
  <si>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</si>
  <si>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</si>
  <si>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</si>
  <si>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</si>
  <si>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</si>
  <si>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</si>
  <si>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</si>
  <si>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</si>
  <si>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</si>
  <si>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</si>
  <si>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</si>
  <si>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</si>
  <si>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</si>
  <si>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</si>
  <si>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</si>
  <si>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</si>
  <si>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</si>
  <si>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</si>
  <si>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</si>
  <si>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</si>
  <si>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</si>
  <si>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</si>
  <si>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</si>
  <si>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</si>
  <si>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</si>
  <si>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</si>
  <si>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</si>
  <si>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</si>
  <si>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</si>
  <si>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</si>
  <si>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</si>
  <si>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</si>
  <si>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</si>
  <si>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</si>
  <si>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</si>
  <si>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</si>
  <si>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week 53</t>
  </si>
  <si>
    <t>week 54</t>
  </si>
  <si>
    <t>week 55</t>
  </si>
  <si>
    <t>week 56</t>
  </si>
  <si>
    <t>week 57</t>
  </si>
  <si>
    <t>week 58</t>
  </si>
  <si>
    <t>week 59</t>
  </si>
  <si>
    <t>week 60</t>
  </si>
  <si>
    <t>week 61</t>
  </si>
  <si>
    <t>week 62</t>
  </si>
  <si>
    <t>week 63</t>
  </si>
  <si>
    <t>week 64</t>
  </si>
  <si>
    <t>week 65</t>
  </si>
  <si>
    <t>week 66</t>
  </si>
  <si>
    <t>week 67</t>
  </si>
  <si>
    <t>week 68</t>
  </si>
  <si>
    <t>week 69</t>
  </si>
  <si>
    <t>week 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</si>
</sst>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Verdana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5"/>
    <col customWidth="1" min="4" max="4" width="15.5"/>
    <col customWidth="1" min="5" max="5" width="16.63"/>
    <col customWidth="1" min="8" max="8" width="18.5"/>
    <col customWidth="1" min="9" max="9" width="20.13"/>
    <col customWidth="1" min="10" max="10" width="13.5"/>
    <col customWidth="1" min="11" max="11" width="19.25"/>
  </cols>
  <sheetData>
    <row r="1">
      <c r="A1" s="2" t="s">
        <v>1</v>
      </c>
      <c r="B1" s="2" t="s">
        <v>1</v>
      </c>
      <c r="C1" s="2" t="s">
        <v>4</v>
      </c>
      <c r="D1" s="2" t="s">
        <v>5</v>
      </c>
      <c r="E1" s="3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</row>
    <row r="2">
      <c r="A2" s="5">
        <v>46209.0</v>
      </c>
      <c r="B2" s="6" t="s">
        <v>15</v>
      </c>
      <c r="C2" s="1">
        <v>27.0</v>
      </c>
      <c r="D2" s="1">
        <v>3.0</v>
      </c>
      <c r="G2" s="1">
        <v>13.0</v>
      </c>
      <c r="H2" s="1">
        <v>5.0</v>
      </c>
    </row>
    <row r="3">
      <c r="A3" s="5">
        <v>46210.0</v>
      </c>
      <c r="B3" s="6" t="s">
        <v>16</v>
      </c>
      <c r="C3" s="1">
        <v>10.0</v>
      </c>
      <c r="D3" s="1">
        <v>3.0</v>
      </c>
      <c r="G3" s="1">
        <v>11.0</v>
      </c>
      <c r="H3" s="1">
        <v>4.0</v>
      </c>
    </row>
    <row r="4">
      <c r="A4" s="5">
        <v>46211.0</v>
      </c>
      <c r="B4" s="6" t="s">
        <v>17</v>
      </c>
      <c r="C4" s="1">
        <v>14.0</v>
      </c>
      <c r="D4" s="1">
        <v>1.0</v>
      </c>
      <c r="G4" s="1">
        <v>16.0</v>
      </c>
    </row>
    <row r="5">
      <c r="A5" s="5">
        <v>46212.0</v>
      </c>
      <c r="B5" s="6" t="s">
        <v>18</v>
      </c>
      <c r="C5" s="1">
        <v>7.0</v>
      </c>
      <c r="D5" s="1">
        <v>0.0</v>
      </c>
      <c r="G5" s="1">
        <v>13.0</v>
      </c>
    </row>
    <row r="6">
      <c r="A6" s="5">
        <v>46213.0</v>
      </c>
      <c r="B6" s="6" t="s">
        <v>19</v>
      </c>
      <c r="C6" s="1">
        <v>11.0</v>
      </c>
      <c r="D6" s="1">
        <v>0.0</v>
      </c>
    </row>
    <row r="7">
      <c r="A7" s="5">
        <v>46223.0</v>
      </c>
      <c r="B7" s="7" t="s">
        <v>15</v>
      </c>
      <c r="C7" s="1">
        <v>19.0</v>
      </c>
      <c r="D7" s="1">
        <v>7.0</v>
      </c>
      <c r="F7" s="1">
        <v>4.0</v>
      </c>
      <c r="G7" s="1">
        <v>10.0</v>
      </c>
    </row>
    <row r="8">
      <c r="A8" s="5">
        <v>46224.0</v>
      </c>
      <c r="B8" s="7" t="s">
        <v>16</v>
      </c>
      <c r="C8" s="1">
        <v>6.0</v>
      </c>
      <c r="D8" s="1">
        <v>9.0</v>
      </c>
      <c r="E8" s="1">
        <v>10.0</v>
      </c>
      <c r="F8" s="1">
        <v>6.0</v>
      </c>
      <c r="G8" s="1">
        <v>13.0</v>
      </c>
    </row>
    <row r="9">
      <c r="A9" s="5">
        <v>46225.0</v>
      </c>
      <c r="B9" s="7" t="s">
        <v>17</v>
      </c>
      <c r="C9" s="1">
        <v>30.0</v>
      </c>
      <c r="D9" s="1">
        <v>2.0</v>
      </c>
      <c r="E9" s="1">
        <v>38.0</v>
      </c>
      <c r="F9" s="1">
        <v>12.0</v>
      </c>
    </row>
    <row r="10">
      <c r="A10" s="5">
        <v>46226.0</v>
      </c>
      <c r="B10" s="7" t="s">
        <v>18</v>
      </c>
    </row>
    <row r="11">
      <c r="A11" s="5">
        <v>46227.0</v>
      </c>
      <c r="B11" s="7" t="s">
        <v>19</v>
      </c>
    </row>
    <row r="12">
      <c r="A12" s="5">
        <v>46228.0</v>
      </c>
      <c r="B12" s="7" t="s">
        <v>21</v>
      </c>
    </row>
    <row r="13">
      <c r="A13" s="5">
        <v>46229.0</v>
      </c>
      <c r="B13" s="7" t="s">
        <v>22</v>
      </c>
    </row>
    <row r="14">
      <c r="A14" s="5">
        <v>46230.0</v>
      </c>
      <c r="B14" s="7" t="s">
        <v>15</v>
      </c>
    </row>
    <row r="15">
      <c r="A15" s="5">
        <v>46231.0</v>
      </c>
      <c r="B15" s="7" t="s">
        <v>16</v>
      </c>
    </row>
    <row r="16">
      <c r="A16" s="5">
        <v>46232.0</v>
      </c>
      <c r="B16" s="7" t="s">
        <v>17</v>
      </c>
    </row>
    <row r="17">
      <c r="A17" s="5">
        <v>46233.0</v>
      </c>
      <c r="B17" s="7" t="s">
        <v>18</v>
      </c>
    </row>
    <row r="18">
      <c r="A18" s="5">
        <v>46234.0</v>
      </c>
      <c r="B18" s="7" t="s">
        <v>19</v>
      </c>
    </row>
    <row r="19">
      <c r="A19" s="5">
        <v>46235.0</v>
      </c>
      <c r="B19" s="7" t="s">
        <v>21</v>
      </c>
    </row>
    <row r="20">
      <c r="A20" s="5">
        <v>46236.0</v>
      </c>
      <c r="B20" s="7" t="s">
        <v>22</v>
      </c>
    </row>
    <row r="21">
      <c r="A21" s="5">
        <v>46237.0</v>
      </c>
      <c r="B21" s="7" t="s">
        <v>15</v>
      </c>
    </row>
    <row r="22">
      <c r="A22" s="5">
        <v>46238.0</v>
      </c>
      <c r="B22" s="7" t="s">
        <v>16</v>
      </c>
    </row>
    <row r="23">
      <c r="A23" s="5">
        <v>46239.0</v>
      </c>
      <c r="B23" s="7" t="s">
        <v>17</v>
      </c>
    </row>
    <row r="24">
      <c r="A24" s="5">
        <v>46240.0</v>
      </c>
      <c r="B24" s="7" t="s">
        <v>18</v>
      </c>
    </row>
    <row r="25">
      <c r="A25" s="5">
        <v>46241.0</v>
      </c>
      <c r="B25" s="7" t="s">
        <v>19</v>
      </c>
    </row>
    <row r="26">
      <c r="A26" s="5">
        <v>46242.0</v>
      </c>
      <c r="B26" s="7" t="s">
        <v>21</v>
      </c>
    </row>
    <row r="27">
      <c r="A27" s="5">
        <v>46243.0</v>
      </c>
      <c r="B27" s="7" t="s">
        <v>22</v>
      </c>
    </row>
    <row r="28">
      <c r="A28" s="5">
        <v>46244.0</v>
      </c>
      <c r="B28" s="7" t="s">
        <v>15</v>
      </c>
    </row>
    <row r="29">
      <c r="A29" s="5">
        <v>46245.0</v>
      </c>
      <c r="B29" s="7" t="s">
        <v>16</v>
      </c>
    </row>
    <row r="30">
      <c r="A30" s="5">
        <v>46246.0</v>
      </c>
      <c r="B30" s="7" t="s">
        <v>17</v>
      </c>
    </row>
    <row r="31">
      <c r="A31" s="5">
        <v>46247.0</v>
      </c>
      <c r="B31" s="7" t="s">
        <v>18</v>
      </c>
    </row>
    <row r="32">
      <c r="A32" s="5">
        <v>46248.0</v>
      </c>
      <c r="B32" s="7" t="s">
        <v>19</v>
      </c>
    </row>
    <row r="33">
      <c r="A33" s="5">
        <v>46249.0</v>
      </c>
      <c r="B33" s="7" t="s">
        <v>21</v>
      </c>
    </row>
    <row r="34">
      <c r="A34" s="5">
        <v>46250.0</v>
      </c>
      <c r="B34" s="7" t="s">
        <v>22</v>
      </c>
    </row>
    <row r="35">
      <c r="A35" s="5">
        <v>46251.0</v>
      </c>
      <c r="B35" s="7" t="s">
        <v>15</v>
      </c>
    </row>
    <row r="36">
      <c r="A36" s="5">
        <v>46252.0</v>
      </c>
      <c r="B36" s="7" t="s">
        <v>16</v>
      </c>
    </row>
    <row r="37">
      <c r="A37" s="5">
        <v>46253.0</v>
      </c>
      <c r="B37" s="7" t="s">
        <v>17</v>
      </c>
    </row>
    <row r="38">
      <c r="A38" s="5">
        <v>46254.0</v>
      </c>
      <c r="B38" s="7" t="s">
        <v>18</v>
      </c>
    </row>
    <row r="39">
      <c r="A39" s="5">
        <v>46255.0</v>
      </c>
      <c r="B39" s="7" t="s">
        <v>19</v>
      </c>
    </row>
    <row r="40">
      <c r="A40" s="5">
        <v>46256.0</v>
      </c>
      <c r="B40" s="7" t="s">
        <v>21</v>
      </c>
    </row>
    <row r="41">
      <c r="A41" s="5">
        <v>46257.0</v>
      </c>
      <c r="B41" s="7" t="s">
        <v>22</v>
      </c>
    </row>
    <row r="42">
      <c r="A42" s="5">
        <v>46258.0</v>
      </c>
      <c r="B42" s="7" t="s">
        <v>15</v>
      </c>
    </row>
    <row r="43">
      <c r="A43" s="5">
        <v>46259.0</v>
      </c>
      <c r="B43" s="7" t="s">
        <v>16</v>
      </c>
    </row>
    <row r="44">
      <c r="A44" s="5">
        <v>46260.0</v>
      </c>
      <c r="B44" s="7" t="s">
        <v>17</v>
      </c>
    </row>
    <row r="45">
      <c r="A45" s="5">
        <v>46261.0</v>
      </c>
      <c r="B45" s="7" t="s">
        <v>18</v>
      </c>
    </row>
    <row r="46">
      <c r="A46" s="5">
        <v>46262.0</v>
      </c>
      <c r="B46" s="7" t="s">
        <v>19</v>
      </c>
    </row>
    <row r="47">
      <c r="A47" s="5">
        <v>46263.0</v>
      </c>
      <c r="B47" s="7" t="s">
        <v>21</v>
      </c>
    </row>
    <row r="48">
      <c r="A48" s="5">
        <v>46264.0</v>
      </c>
      <c r="B48" s="7" t="s">
        <v>22</v>
      </c>
    </row>
    <row r="49">
      <c r="A49" s="5">
        <v>46265.0</v>
      </c>
      <c r="B49" s="7" t="s">
        <v>15</v>
      </c>
    </row>
    <row r="50">
      <c r="A50" s="5">
        <v>46266.0</v>
      </c>
      <c r="B50" s="7" t="s">
        <v>16</v>
      </c>
    </row>
    <row r="51">
      <c r="A51" s="5">
        <v>46267.0</v>
      </c>
      <c r="B51" s="7" t="s">
        <v>17</v>
      </c>
    </row>
    <row r="52">
      <c r="A52" s="5">
        <v>46268.0</v>
      </c>
      <c r="B52" s="7" t="s">
        <v>18</v>
      </c>
    </row>
    <row r="53">
      <c r="A53" s="5">
        <v>46269.0</v>
      </c>
      <c r="B53" s="7" t="s">
        <v>19</v>
      </c>
    </row>
    <row r="54">
      <c r="A54" s="5">
        <v>46270.0</v>
      </c>
      <c r="B54" s="7" t="s">
        <v>21</v>
      </c>
    </row>
    <row r="55">
      <c r="A55" s="5">
        <v>46271.0</v>
      </c>
      <c r="B55" s="7" t="s">
        <v>22</v>
      </c>
    </row>
    <row r="56">
      <c r="A56" s="5">
        <v>46272.0</v>
      </c>
      <c r="B56" s="7" t="s">
        <v>15</v>
      </c>
    </row>
    <row r="57">
      <c r="A57" s="5">
        <v>46273.0</v>
      </c>
      <c r="B57" s="7" t="s">
        <v>16</v>
      </c>
    </row>
    <row r="58">
      <c r="A58" s="5">
        <v>46274.0</v>
      </c>
      <c r="B58" s="7" t="s">
        <v>17</v>
      </c>
    </row>
    <row r="59">
      <c r="A59" s="5">
        <v>46275.0</v>
      </c>
      <c r="B59" s="7" t="s">
        <v>18</v>
      </c>
    </row>
    <row r="60">
      <c r="A60" s="5">
        <v>46276.0</v>
      </c>
      <c r="B60" s="7" t="s">
        <v>19</v>
      </c>
    </row>
    <row r="61">
      <c r="A61" s="5">
        <v>46277.0</v>
      </c>
      <c r="B61" s="7" t="s">
        <v>21</v>
      </c>
    </row>
    <row r="62">
      <c r="A62" s="5">
        <v>46278.0</v>
      </c>
      <c r="B62" s="7" t="s">
        <v>22</v>
      </c>
    </row>
    <row r="63">
      <c r="A63" s="5">
        <v>46279.0</v>
      </c>
      <c r="B63" s="7" t="s">
        <v>15</v>
      </c>
    </row>
    <row r="64">
      <c r="A64" s="5">
        <v>46280.0</v>
      </c>
      <c r="B64" s="7" t="s">
        <v>16</v>
      </c>
    </row>
    <row r="65">
      <c r="A65" s="5">
        <v>46281.0</v>
      </c>
      <c r="B65" s="7" t="s">
        <v>17</v>
      </c>
    </row>
    <row r="66">
      <c r="A66" s="5">
        <v>46282.0</v>
      </c>
      <c r="B66" s="7" t="s">
        <v>18</v>
      </c>
    </row>
    <row r="67">
      <c r="A67" s="5">
        <v>46283.0</v>
      </c>
      <c r="B67" s="7" t="s">
        <v>19</v>
      </c>
    </row>
    <row r="68">
      <c r="A68" s="5">
        <v>46284.0</v>
      </c>
      <c r="B68" s="7" t="s">
        <v>21</v>
      </c>
    </row>
    <row r="69">
      <c r="A69" s="5">
        <v>46285.0</v>
      </c>
      <c r="B69" s="7" t="s">
        <v>22</v>
      </c>
    </row>
    <row r="70">
      <c r="A70" s="5">
        <v>46286.0</v>
      </c>
      <c r="B70" s="7" t="s">
        <v>15</v>
      </c>
    </row>
    <row r="71">
      <c r="A71" s="5">
        <v>46287.0</v>
      </c>
      <c r="B71" s="7" t="s">
        <v>16</v>
      </c>
    </row>
    <row r="72">
      <c r="A72" s="5">
        <v>46288.0</v>
      </c>
      <c r="B72" s="7" t="s">
        <v>17</v>
      </c>
    </row>
    <row r="73">
      <c r="A73" s="5">
        <v>46289.0</v>
      </c>
      <c r="B73" s="7" t="s">
        <v>18</v>
      </c>
    </row>
    <row r="74">
      <c r="A74" s="5">
        <v>46290.0</v>
      </c>
      <c r="B74" s="7" t="s">
        <v>19</v>
      </c>
    </row>
    <row r="75">
      <c r="A75" s="5">
        <v>46291.0</v>
      </c>
      <c r="B75" s="7" t="s">
        <v>21</v>
      </c>
    </row>
    <row r="76">
      <c r="A76" s="5">
        <v>46292.0</v>
      </c>
      <c r="B76" s="7" t="s">
        <v>22</v>
      </c>
    </row>
    <row r="77">
      <c r="A77" s="5">
        <v>46293.0</v>
      </c>
      <c r="B77" s="7" t="s">
        <v>15</v>
      </c>
    </row>
    <row r="78">
      <c r="A78" s="5">
        <v>46294.0</v>
      </c>
      <c r="B78" s="7" t="s">
        <v>16</v>
      </c>
    </row>
    <row r="79">
      <c r="A79" s="5">
        <v>46295.0</v>
      </c>
      <c r="B79" s="7" t="s">
        <v>17</v>
      </c>
    </row>
    <row r="80">
      <c r="A80" s="5">
        <v>46296.0</v>
      </c>
      <c r="B80" s="7" t="s">
        <v>18</v>
      </c>
    </row>
    <row r="81">
      <c r="A81" s="5">
        <v>46297.0</v>
      </c>
      <c r="B81" s="7" t="s">
        <v>19</v>
      </c>
    </row>
    <row r="82">
      <c r="A82" s="5">
        <v>46298.0</v>
      </c>
      <c r="B82" s="7" t="s">
        <v>21</v>
      </c>
    </row>
    <row r="83">
      <c r="A83" s="5">
        <v>46299.0</v>
      </c>
      <c r="B83" s="7" t="s">
        <v>22</v>
      </c>
    </row>
    <row r="84">
      <c r="A84" s="5">
        <v>46300.0</v>
      </c>
      <c r="B84" s="7" t="s">
        <v>15</v>
      </c>
    </row>
    <row r="85">
      <c r="A85" s="5">
        <v>46301.0</v>
      </c>
      <c r="B85" s="7" t="s">
        <v>16</v>
      </c>
    </row>
    <row r="86">
      <c r="A86" s="5">
        <v>46302.0</v>
      </c>
      <c r="B86" s="7" t="s">
        <v>17</v>
      </c>
    </row>
    <row r="87">
      <c r="A87" s="5">
        <v>46303.0</v>
      </c>
      <c r="B87" s="7" t="s">
        <v>18</v>
      </c>
    </row>
    <row r="88">
      <c r="A88" s="5">
        <v>46304.0</v>
      </c>
      <c r="B88" s="7" t="s">
        <v>19</v>
      </c>
    </row>
    <row r="89">
      <c r="A89" s="5">
        <v>46305.0</v>
      </c>
      <c r="B89" s="7" t="s">
        <v>21</v>
      </c>
    </row>
    <row r="90">
      <c r="A90" s="5">
        <v>46306.0</v>
      </c>
      <c r="B90" s="7" t="s">
        <v>22</v>
      </c>
    </row>
    <row r="91">
      <c r="A91" s="5">
        <v>46307.0</v>
      </c>
      <c r="B91" s="7" t="s">
        <v>15</v>
      </c>
    </row>
    <row r="92">
      <c r="A92" s="5">
        <v>46308.0</v>
      </c>
      <c r="B92" s="7" t="s">
        <v>16</v>
      </c>
    </row>
    <row r="93">
      <c r="A93" s="5">
        <v>46309.0</v>
      </c>
      <c r="B93" s="7" t="s">
        <v>17</v>
      </c>
    </row>
    <row r="94">
      <c r="A94" s="5">
        <v>46310.0</v>
      </c>
      <c r="B94" s="7" t="s">
        <v>18</v>
      </c>
    </row>
    <row r="95">
      <c r="A95" s="5">
        <v>46311.0</v>
      </c>
      <c r="B95" s="7" t="s">
        <v>19</v>
      </c>
    </row>
    <row r="96">
      <c r="A96" s="5">
        <v>46312.0</v>
      </c>
      <c r="B96" s="7" t="s">
        <v>21</v>
      </c>
    </row>
    <row r="97">
      <c r="A97" s="5">
        <v>46313.0</v>
      </c>
      <c r="B97" s="7" t="s">
        <v>22</v>
      </c>
    </row>
    <row r="98">
      <c r="A98" s="5">
        <v>46314.0</v>
      </c>
      <c r="B98" s="7" t="s">
        <v>15</v>
      </c>
    </row>
    <row r="99">
      <c r="A99" s="5">
        <v>46315.0</v>
      </c>
      <c r="B99" s="7" t="s">
        <v>16</v>
      </c>
    </row>
    <row r="100">
      <c r="A100" s="5">
        <v>46316.0</v>
      </c>
      <c r="B100" s="7" t="s">
        <v>17</v>
      </c>
    </row>
    <row r="101">
      <c r="A101" s="5">
        <v>46317.0</v>
      </c>
      <c r="B101" s="7" t="s">
        <v>18</v>
      </c>
    </row>
    <row r="102">
      <c r="A102" s="5">
        <v>46318.0</v>
      </c>
      <c r="B102" s="7" t="s">
        <v>19</v>
      </c>
    </row>
    <row r="103">
      <c r="A103" s="5">
        <v>46319.0</v>
      </c>
      <c r="B103" s="7" t="s">
        <v>21</v>
      </c>
    </row>
    <row r="104">
      <c r="A104" s="5">
        <v>46320.0</v>
      </c>
      <c r="B104" s="7" t="s">
        <v>22</v>
      </c>
    </row>
    <row r="105">
      <c r="A105" s="5">
        <v>46321.0</v>
      </c>
      <c r="B105" s="7" t="s">
        <v>15</v>
      </c>
    </row>
    <row r="106">
      <c r="A106" s="5">
        <v>46322.0</v>
      </c>
      <c r="B106" s="7" t="s">
        <v>16</v>
      </c>
    </row>
    <row r="107">
      <c r="A107" s="5">
        <v>46323.0</v>
      </c>
      <c r="B107" s="7" t="s">
        <v>17</v>
      </c>
    </row>
    <row r="108">
      <c r="A108" s="5">
        <v>46324.0</v>
      </c>
      <c r="B108" s="7" t="s">
        <v>18</v>
      </c>
    </row>
    <row r="109">
      <c r="A109" s="5">
        <v>46325.0</v>
      </c>
      <c r="B109" s="7" t="s">
        <v>19</v>
      </c>
    </row>
    <row r="110">
      <c r="A110" s="5">
        <v>46326.0</v>
      </c>
      <c r="B110" s="7" t="s">
        <v>21</v>
      </c>
    </row>
    <row r="111">
      <c r="A111" s="5">
        <v>46327.0</v>
      </c>
      <c r="B111" s="7" t="s">
        <v>22</v>
      </c>
    </row>
    <row r="112">
      <c r="A112" s="5">
        <v>46328.0</v>
      </c>
      <c r="B112" s="7" t="s">
        <v>15</v>
      </c>
    </row>
    <row r="113">
      <c r="A113" s="5">
        <v>46329.0</v>
      </c>
      <c r="B113" s="7" t="s">
        <v>16</v>
      </c>
    </row>
    <row r="114">
      <c r="A114" s="5">
        <v>46330.0</v>
      </c>
      <c r="B114" s="7" t="s">
        <v>17</v>
      </c>
    </row>
    <row r="115">
      <c r="A115" s="5">
        <v>46331.0</v>
      </c>
      <c r="B115" s="7" t="s">
        <v>18</v>
      </c>
    </row>
    <row r="116">
      <c r="A116" s="5">
        <v>46332.0</v>
      </c>
      <c r="B116" s="7" t="s">
        <v>19</v>
      </c>
    </row>
    <row r="117">
      <c r="A117" s="5">
        <v>46333.0</v>
      </c>
      <c r="B117" s="7" t="s">
        <v>21</v>
      </c>
    </row>
    <row r="118">
      <c r="A118" s="5">
        <v>46334.0</v>
      </c>
      <c r="B118" s="7" t="s">
        <v>22</v>
      </c>
    </row>
    <row r="119">
      <c r="A119" s="5">
        <v>46335.0</v>
      </c>
      <c r="B119" s="7" t="s">
        <v>15</v>
      </c>
    </row>
    <row r="120">
      <c r="A120" s="5">
        <v>46336.0</v>
      </c>
      <c r="B120" s="7" t="s">
        <v>16</v>
      </c>
    </row>
    <row r="121">
      <c r="A121" s="5">
        <v>46337.0</v>
      </c>
      <c r="B121" s="7" t="s">
        <v>17</v>
      </c>
    </row>
    <row r="122">
      <c r="A122" s="5">
        <v>46338.0</v>
      </c>
      <c r="B122" s="7" t="s">
        <v>18</v>
      </c>
    </row>
    <row r="123">
      <c r="A123" s="5">
        <v>46339.0</v>
      </c>
      <c r="B123" s="7" t="s">
        <v>19</v>
      </c>
    </row>
    <row r="124">
      <c r="A124" s="5">
        <v>46340.0</v>
      </c>
      <c r="B124" s="7" t="s">
        <v>21</v>
      </c>
    </row>
    <row r="125">
      <c r="A125" s="5">
        <v>46341.0</v>
      </c>
      <c r="B125" s="7" t="s">
        <v>22</v>
      </c>
    </row>
    <row r="126">
      <c r="A126" s="5">
        <v>46342.0</v>
      </c>
      <c r="B126" s="7" t="s">
        <v>15</v>
      </c>
    </row>
    <row r="127">
      <c r="A127" s="5">
        <v>46343.0</v>
      </c>
      <c r="B127" s="7" t="s">
        <v>16</v>
      </c>
    </row>
    <row r="128">
      <c r="A128" s="5">
        <v>46344.0</v>
      </c>
      <c r="B128" s="7" t="s">
        <v>17</v>
      </c>
    </row>
    <row r="129">
      <c r="A129" s="5">
        <v>46345.0</v>
      </c>
      <c r="B129" s="7" t="s">
        <v>18</v>
      </c>
    </row>
    <row r="130">
      <c r="A130" s="5">
        <v>46346.0</v>
      </c>
      <c r="B130" s="7" t="s">
        <v>19</v>
      </c>
    </row>
    <row r="131">
      <c r="A131" s="5">
        <v>46347.0</v>
      </c>
      <c r="B131" s="7" t="s">
        <v>21</v>
      </c>
    </row>
    <row r="132">
      <c r="A132" s="5">
        <v>46348.0</v>
      </c>
      <c r="B132" s="7" t="s">
        <v>22</v>
      </c>
    </row>
    <row r="133">
      <c r="A133" s="5">
        <v>46349.0</v>
      </c>
      <c r="B133" s="7" t="s">
        <v>15</v>
      </c>
    </row>
    <row r="134">
      <c r="A134" s="5">
        <v>46350.0</v>
      </c>
      <c r="B134" s="7" t="s">
        <v>16</v>
      </c>
    </row>
    <row r="135">
      <c r="A135" s="5">
        <v>46351.0</v>
      </c>
      <c r="B135" s="7" t="s">
        <v>17</v>
      </c>
    </row>
    <row r="136">
      <c r="A136" s="5">
        <v>46352.0</v>
      </c>
      <c r="B136" s="7" t="s">
        <v>18</v>
      </c>
    </row>
    <row r="137">
      <c r="A137" s="5">
        <v>46353.0</v>
      </c>
      <c r="B137" s="7" t="s">
        <v>19</v>
      </c>
    </row>
    <row r="138">
      <c r="A138" s="5">
        <v>46354.0</v>
      </c>
      <c r="B138" s="7" t="s">
        <v>21</v>
      </c>
    </row>
    <row r="139">
      <c r="A139" s="5">
        <v>46355.0</v>
      </c>
      <c r="B139" s="7" t="s">
        <v>22</v>
      </c>
    </row>
    <row r="140">
      <c r="A140" s="5">
        <v>46356.0</v>
      </c>
      <c r="B140" s="7" t="s">
        <v>15</v>
      </c>
    </row>
    <row r="141">
      <c r="A141" s="5">
        <v>46357.0</v>
      </c>
      <c r="B141" s="7" t="s">
        <v>16</v>
      </c>
    </row>
    <row r="142">
      <c r="A142" s="5">
        <v>46358.0</v>
      </c>
      <c r="B142" s="7" t="s">
        <v>17</v>
      </c>
    </row>
    <row r="143">
      <c r="A143" s="5">
        <v>46359.0</v>
      </c>
      <c r="B143" s="7" t="s">
        <v>18</v>
      </c>
    </row>
    <row r="144">
      <c r="A144" s="5">
        <v>46360.0</v>
      </c>
      <c r="B144" s="7" t="s">
        <v>19</v>
      </c>
    </row>
    <row r="145">
      <c r="A145" s="5">
        <v>46361.0</v>
      </c>
      <c r="B145" s="7" t="s">
        <v>21</v>
      </c>
    </row>
    <row r="146">
      <c r="A146" s="5">
        <v>46362.0</v>
      </c>
      <c r="B146" s="7" t="s">
        <v>22</v>
      </c>
    </row>
    <row r="147">
      <c r="A147" s="5">
        <v>46363.0</v>
      </c>
      <c r="B147" s="7" t="s">
        <v>15</v>
      </c>
    </row>
    <row r="148">
      <c r="A148" s="5">
        <v>46364.0</v>
      </c>
      <c r="B148" s="7" t="s">
        <v>16</v>
      </c>
    </row>
    <row r="149">
      <c r="A149" s="5">
        <v>46365.0</v>
      </c>
      <c r="B149" s="7" t="s">
        <v>17</v>
      </c>
    </row>
    <row r="150">
      <c r="A150" s="5">
        <v>46366.0</v>
      </c>
      <c r="B150" s="7" t="s">
        <v>18</v>
      </c>
    </row>
    <row r="151">
      <c r="A151" s="5">
        <v>46367.0</v>
      </c>
      <c r="B151" s="7" t="s">
        <v>19</v>
      </c>
    </row>
    <row r="152">
      <c r="A152" s="5">
        <v>46368.0</v>
      </c>
      <c r="B152" s="7" t="s">
        <v>21</v>
      </c>
    </row>
    <row r="153">
      <c r="A153" s="5">
        <v>46369.0</v>
      </c>
      <c r="B153" s="7" t="s">
        <v>22</v>
      </c>
    </row>
    <row r="154">
      <c r="A154" s="5">
        <v>46370.0</v>
      </c>
      <c r="B154" s="7" t="s">
        <v>15</v>
      </c>
    </row>
    <row r="155">
      <c r="A155" s="5">
        <v>46371.0</v>
      </c>
      <c r="B155" s="7" t="s">
        <v>16</v>
      </c>
    </row>
    <row r="156">
      <c r="A156" s="5">
        <v>46372.0</v>
      </c>
      <c r="B156" s="7" t="s">
        <v>17</v>
      </c>
    </row>
    <row r="157">
      <c r="A157" s="5">
        <v>46373.0</v>
      </c>
      <c r="B157" s="7" t="s">
        <v>18</v>
      </c>
    </row>
    <row r="158">
      <c r="A158" s="5">
        <v>46374.0</v>
      </c>
      <c r="B158" s="7" t="s">
        <v>19</v>
      </c>
    </row>
    <row r="159">
      <c r="A159" s="5">
        <v>46375.0</v>
      </c>
      <c r="B159" s="7" t="s">
        <v>21</v>
      </c>
    </row>
    <row r="160">
      <c r="A160" s="5">
        <v>46376.0</v>
      </c>
      <c r="B160" s="7" t="s">
        <v>22</v>
      </c>
    </row>
    <row r="161">
      <c r="A161" s="5">
        <v>46377.0</v>
      </c>
      <c r="B161" s="7" t="s">
        <v>15</v>
      </c>
    </row>
    <row r="162">
      <c r="A162" s="5">
        <v>46378.0</v>
      </c>
      <c r="B162" s="7" t="s">
        <v>16</v>
      </c>
    </row>
    <row r="163">
      <c r="A163" s="5">
        <v>46379.0</v>
      </c>
      <c r="B163" s="7" t="s">
        <v>17</v>
      </c>
    </row>
    <row r="164">
      <c r="A164" s="5">
        <v>46380.0</v>
      </c>
      <c r="B164" s="7" t="s">
        <v>18</v>
      </c>
    </row>
    <row r="165">
      <c r="A165" s="5">
        <v>46381.0</v>
      </c>
      <c r="B165" s="7" t="s">
        <v>19</v>
      </c>
    </row>
    <row r="166">
      <c r="A166" s="5">
        <v>46382.0</v>
      </c>
      <c r="B166" s="7" t="s">
        <v>21</v>
      </c>
    </row>
    <row r="167">
      <c r="A167" s="5">
        <v>46383.0</v>
      </c>
      <c r="B167" s="7" t="s">
        <v>22</v>
      </c>
    </row>
    <row r="168">
      <c r="A168" s="5">
        <v>46384.0</v>
      </c>
      <c r="B168" s="7" t="s">
        <v>15</v>
      </c>
    </row>
    <row r="169">
      <c r="A169" s="5">
        <v>46385.0</v>
      </c>
      <c r="B169" s="7" t="s">
        <v>16</v>
      </c>
    </row>
    <row r="170">
      <c r="A170" s="5">
        <v>46386.0</v>
      </c>
      <c r="B170" s="7" t="s">
        <v>17</v>
      </c>
    </row>
    <row r="171">
      <c r="A171" s="5">
        <v>46387.0</v>
      </c>
      <c r="B171" s="7" t="s">
        <v>18</v>
      </c>
    </row>
    <row r="172">
      <c r="A172" s="5">
        <v>46388.0</v>
      </c>
      <c r="B172" s="7" t="s">
        <v>19</v>
      </c>
    </row>
    <row r="173">
      <c r="A173" s="5">
        <v>46389.0</v>
      </c>
      <c r="B173" s="7" t="s">
        <v>21</v>
      </c>
    </row>
    <row r="174">
      <c r="A174" s="5">
        <v>46390.0</v>
      </c>
      <c r="B174" s="7" t="s">
        <v>22</v>
      </c>
    </row>
    <row r="175">
      <c r="A175" s="5">
        <v>46391.0</v>
      </c>
      <c r="B175" s="7" t="s">
        <v>15</v>
      </c>
    </row>
    <row r="176">
      <c r="A176" s="5">
        <v>46392.0</v>
      </c>
      <c r="B176" s="7" t="s">
        <v>16</v>
      </c>
    </row>
    <row r="177">
      <c r="A177" s="5">
        <v>46393.0</v>
      </c>
      <c r="B177" s="7" t="s">
        <v>17</v>
      </c>
    </row>
    <row r="178">
      <c r="A178" s="5">
        <v>46394.0</v>
      </c>
      <c r="B178" s="7" t="s">
        <v>18</v>
      </c>
    </row>
    <row r="179">
      <c r="A179" s="5">
        <v>46395.0</v>
      </c>
      <c r="B179" s="7" t="s">
        <v>19</v>
      </c>
    </row>
    <row r="180">
      <c r="A180" s="5">
        <v>46396.0</v>
      </c>
      <c r="B180" s="7" t="s">
        <v>21</v>
      </c>
    </row>
    <row r="181">
      <c r="A181" s="5">
        <v>46397.0</v>
      </c>
      <c r="B181" s="7" t="s">
        <v>22</v>
      </c>
    </row>
    <row r="182">
      <c r="A182" s="5">
        <v>46398.0</v>
      </c>
      <c r="B182" s="7" t="s">
        <v>15</v>
      </c>
    </row>
    <row r="183">
      <c r="A183" s="5">
        <v>46399.0</v>
      </c>
      <c r="B183" s="7" t="s">
        <v>16</v>
      </c>
    </row>
    <row r="184">
      <c r="A184" s="5">
        <v>46400.0</v>
      </c>
      <c r="B184" s="7" t="s">
        <v>17</v>
      </c>
    </row>
    <row r="185">
      <c r="A185" s="5">
        <v>46401.0</v>
      </c>
      <c r="B185" s="7" t="s">
        <v>18</v>
      </c>
    </row>
    <row r="186">
      <c r="A186" s="5">
        <v>46402.0</v>
      </c>
      <c r="B186" s="7" t="s">
        <v>19</v>
      </c>
    </row>
    <row r="187">
      <c r="A187" s="5">
        <v>46403.0</v>
      </c>
      <c r="B187" s="7" t="s">
        <v>21</v>
      </c>
    </row>
    <row r="188">
      <c r="A188" s="5"/>
      <c r="B188" s="6"/>
    </row>
    <row r="189">
      <c r="A189" s="5"/>
      <c r="B189" s="6"/>
    </row>
    <row r="190">
      <c r="A190" s="5"/>
      <c r="B190" s="6"/>
    </row>
    <row r="191">
      <c r="A191" s="5"/>
      <c r="B191" s="6"/>
    </row>
    <row r="192">
      <c r="A192" s="5"/>
      <c r="B192" s="6"/>
    </row>
    <row r="193">
      <c r="A193" s="5"/>
      <c r="B19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25"/>
    <col customWidth="1" min="4" max="4" width="19.75"/>
    <col customWidth="1" min="5" max="5" width="17.0"/>
    <col customWidth="1" min="6" max="6" width="19.5"/>
    <col customWidth="1" min="9" max="9" width="16.63"/>
    <col customWidth="1" min="10" max="10" width="21.5"/>
    <col customWidth="1" min="11" max="11" width="20.25"/>
    <col customWidth="1" min="12" max="12" width="29.75"/>
  </cols>
  <sheetData>
    <row r="1">
      <c r="A1" s="1" t="s">
        <v>0</v>
      </c>
      <c r="B1" s="3" t="s">
        <v>2</v>
      </c>
      <c r="C1" s="3" t="s">
        <v>3</v>
      </c>
      <c r="D1" s="2" t="s">
        <v>4</v>
      </c>
      <c r="E1" s="2" t="s">
        <v>5</v>
      </c>
      <c r="F1" s="3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</row>
    <row r="2">
      <c r="A2" s="1" t="s">
        <v>13</v>
      </c>
      <c r="B2" s="5">
        <v>46209.0</v>
      </c>
      <c r="C2" s="5">
        <v>46213.0</v>
      </c>
      <c r="D2" s="8">
        <f>SUMIFS('Daily Tracker'!C:C,'Daily Tracker'!A:A,"&gt;="&amp;B2,'Daily Tracker'!A:A,"&lt;="&amp;C2)</f>
        <v>69</v>
      </c>
      <c r="E2" s="8">
        <f>SUMIFS('Daily Tracker'!D:D,'Daily Tracker'!A:A,"&gt;="&amp;B2,'Daily Tracker'!A:A,"&lt;="&amp;C2)</f>
        <v>7</v>
      </c>
      <c r="F2" s="8">
        <f>SUMIFS('Daily Tracker'!E:E,'Daily Tracker'!A:A,"&gt;="&amp;B2,'Daily Tracker'!A:A,"&lt;="&amp;C2)</f>
        <v>0</v>
      </c>
      <c r="G2" s="8">
        <f>SUMIFS('Daily Tracker'!F:F,'Daily Tracker'!A:A,"&gt;="&amp;B2,'Daily Tracker'!A:A,"&lt;="&amp;C2)</f>
        <v>0</v>
      </c>
      <c r="H2" s="8">
        <f>SUMIFS('Daily Tracker'!G:G,'Daily Tracker'!A:A,"&gt;="&amp;B2,'Daily Tracker'!A:A,"&lt;="&amp;C2)</f>
        <v>53</v>
      </c>
      <c r="I2" s="8">
        <f>SUMIFS('Daily Tracker'!H:H,'Daily Tracker'!A:A,"&gt;="&amp;B2,'Daily Tracker'!A:A,"&lt;="&amp;C2)</f>
        <v>9</v>
      </c>
      <c r="J2" s="8">
        <f>SUMIFS('Daily Tracker'!I:I,'Daily Tracker'!A:A,"&gt;="&amp;B2,'Daily Tracker'!A:A,"&lt;="&amp;C2)</f>
        <v>0</v>
      </c>
    </row>
    <row r="3">
      <c r="A3" s="1" t="s">
        <v>23</v>
      </c>
      <c r="B3" s="5">
        <v>46223.0</v>
      </c>
      <c r="C3" s="5">
        <v>46227.0</v>
      </c>
      <c r="D3" s="8">
        <f>SUMIFS('Daily Tracker'!C:C,'Daily Tracker'!A:A,"&gt;="&amp;B3,'Daily Tracker'!A:A,"&lt;="&amp;C3)</f>
        <v>55</v>
      </c>
      <c r="E3" s="8">
        <f>SUMIFS('Daily Tracker'!D:D,'Daily Tracker'!A:A,"&gt;="&amp;B3,'Daily Tracker'!A:A,"&lt;="&amp;C3)</f>
        <v>18</v>
      </c>
      <c r="F3" s="8">
        <f>SUMIFS('Daily Tracker'!E:E,'Daily Tracker'!A:A,"&gt;="&amp;B3,'Daily Tracker'!A:A,"&lt;="&amp;C3)</f>
        <v>48</v>
      </c>
      <c r="G3" s="8">
        <f>SUMIFS('Daily Tracker'!F:F,'Daily Tracker'!A:A,"&gt;="&amp;B3,'Daily Tracker'!A:A,"&lt;="&amp;C3)</f>
        <v>22</v>
      </c>
      <c r="H3" s="8">
        <f>SUMIFS('Daily Tracker'!G:G,'Daily Tracker'!A:A,"&gt;="&amp;B3,'Daily Tracker'!A:A,"&lt;="&amp;C3)</f>
        <v>23</v>
      </c>
      <c r="I3" s="8">
        <f>SUMIFS('Daily Tracker'!H:H,'Daily Tracker'!A:A,"&gt;="&amp;B3,'Daily Tracker'!A:A,"&lt;="&amp;C3)</f>
        <v>0</v>
      </c>
      <c r="J3" s="8">
        <f>SUMIFS('Daily Tracker'!I:I,'Daily Tracker'!A:A,"&gt;="&amp;B3,'Daily Tracker'!A:A,"&lt;="&amp;C3)</f>
        <v>0</v>
      </c>
    </row>
    <row r="4">
      <c r="A4" s="1" t="s">
        <v>26</v>
      </c>
      <c r="B4" s="5"/>
      <c r="D4" s="8">
        <f>SUMIFS('Daily Tracker'!C:C,'Daily Tracker'!A:A,"&gt;="&amp;B4,'Daily Tracker'!A:A,"&lt;="&amp;C4)</f>
        <v>0</v>
      </c>
      <c r="E4" s="8">
        <f>SUMIFS('Daily Tracker'!D:D,'Daily Tracker'!A:A,"&gt;="&amp;B4,'Daily Tracker'!A:A,"&lt;="&amp;C4)</f>
        <v>0</v>
      </c>
      <c r="F4" s="8">
        <f>SUMIFS('Daily Tracker'!E:E,'Daily Tracker'!A:A,"&gt;="&amp;B4,'Daily Tracker'!A:A,"&lt;="&amp;C4)</f>
        <v>0</v>
      </c>
      <c r="G4" s="8">
        <f>SUMIFS('Daily Tracker'!F:F,'Daily Tracker'!A:A,"&gt;="&amp;B4,'Daily Tracker'!A:A,"&lt;="&amp;C4)</f>
        <v>0</v>
      </c>
      <c r="H4" s="8">
        <f>SUMIFS('Daily Tracker'!G:G,'Daily Tracker'!A:A,"&gt;="&amp;B4,'Daily Tracker'!A:A,"&lt;="&amp;C4)</f>
        <v>0</v>
      </c>
      <c r="I4" s="8">
        <f>SUMIFS('Daily Tracker'!H:H,'Daily Tracker'!A:A,"&gt;="&amp;B4,'Daily Tracker'!A:A,"&lt;="&amp;C4)</f>
        <v>0</v>
      </c>
      <c r="J4" s="8">
        <f>SUMIFS('Daily Tracker'!I:I,'Daily Tracker'!A:A,"&gt;="&amp;B4,'Daily Tracker'!A:A,"&lt;="&amp;C4)</f>
        <v>0</v>
      </c>
    </row>
    <row r="5">
      <c r="A5" s="1" t="s">
        <v>30</v>
      </c>
      <c r="B5" s="5"/>
      <c r="D5" s="8">
        <f>SUMIFS('Daily Tracker'!C:C,'Daily Tracker'!A:A,"&gt;="&amp;B5,'Daily Tracker'!A:A,"&lt;="&amp;C5)</f>
        <v>0</v>
      </c>
      <c r="E5" s="8">
        <f>SUMIFS('Daily Tracker'!D:D,'Daily Tracker'!A:A,"&gt;="&amp;B5,'Daily Tracker'!A:A,"&lt;="&amp;C5)</f>
        <v>0</v>
      </c>
      <c r="F5" s="8">
        <f>SUMIFS('Daily Tracker'!E:E,'Daily Tracker'!A:A,"&gt;="&amp;B5,'Daily Tracker'!A:A,"&lt;="&amp;C5)</f>
        <v>0</v>
      </c>
      <c r="G5" s="8">
        <f>SUMIFS('Daily Tracker'!F:F,'Daily Tracker'!A:A,"&gt;="&amp;B5,'Daily Tracker'!A:A,"&lt;="&amp;C5)</f>
        <v>0</v>
      </c>
      <c r="H5" s="8">
        <f>SUMIFS('Daily Tracker'!G:G,'Daily Tracker'!A:A,"&gt;="&amp;B5,'Daily Tracker'!A:A,"&lt;="&amp;C5)</f>
        <v>0</v>
      </c>
      <c r="I5" s="8">
        <f>SUMIFS('Daily Tracker'!H:H,'Daily Tracker'!A:A,"&gt;="&amp;B5,'Daily Tracker'!A:A,"&lt;="&amp;C5)</f>
        <v>0</v>
      </c>
      <c r="J5" s="8">
        <f>SUMIFS('Daily Tracker'!I:I,'Daily Tracker'!A:A,"&gt;="&amp;B5,'Daily Tracker'!A:A,"&lt;="&amp;C5)</f>
        <v>0</v>
      </c>
    </row>
    <row r="6">
      <c r="A6" s="1" t="s">
        <v>31</v>
      </c>
      <c r="B6" s="5"/>
      <c r="D6" s="8">
        <f>SUMIFS('Daily Tracker'!C:C,'Daily Tracker'!A:A,"&gt;="&amp;B6,'Daily Tracker'!A:A,"&lt;="&amp;C6)</f>
        <v>0</v>
      </c>
      <c r="E6" s="8">
        <f>SUMIFS('Daily Tracker'!D:D,'Daily Tracker'!A:A,"&gt;="&amp;B6,'Daily Tracker'!A:A,"&lt;="&amp;C6)</f>
        <v>0</v>
      </c>
      <c r="F6" s="8">
        <f>SUMIFS('Daily Tracker'!E:E,'Daily Tracker'!A:A,"&gt;="&amp;B6,'Daily Tracker'!A:A,"&lt;="&amp;C6)</f>
        <v>0</v>
      </c>
      <c r="G6" s="8">
        <f>SUMIFS('Daily Tracker'!F:F,'Daily Tracker'!A:A,"&gt;="&amp;B6,'Daily Tracker'!A:A,"&lt;="&amp;C6)</f>
        <v>0</v>
      </c>
      <c r="H6" s="8">
        <f>SUMIFS('Daily Tracker'!G:G,'Daily Tracker'!A:A,"&gt;="&amp;B6,'Daily Tracker'!A:A,"&lt;="&amp;C6)</f>
        <v>0</v>
      </c>
      <c r="I6" s="8">
        <f>SUMIFS('Daily Tracker'!H:H,'Daily Tracker'!A:A,"&gt;="&amp;B6,'Daily Tracker'!A:A,"&lt;="&amp;C6)</f>
        <v>0</v>
      </c>
      <c r="J6" s="8">
        <f>SUMIFS('Daily Tracker'!I:I,'Daily Tracker'!A:A,"&gt;="&amp;B6,'Daily Tracker'!A:A,"&lt;="&amp;C6)</f>
        <v>0</v>
      </c>
    </row>
    <row r="7">
      <c r="A7" s="1" t="s">
        <v>32</v>
      </c>
      <c r="B7" s="5"/>
      <c r="D7" s="8">
        <f>SUMIFS('Daily Tracker'!C:C,'Daily Tracker'!A:A,"&gt;="&amp;B7,'Daily Tracker'!A:A,"&lt;="&amp;C7)</f>
        <v>0</v>
      </c>
      <c r="E7" s="8">
        <f>SUMIFS('Daily Tracker'!D:D,'Daily Tracker'!A:A,"&gt;="&amp;B7,'Daily Tracker'!A:A,"&lt;="&amp;C7)</f>
        <v>0</v>
      </c>
      <c r="F7" s="8">
        <f>SUMIFS('Daily Tracker'!E:E,'Daily Tracker'!A:A,"&gt;="&amp;B7,'Daily Tracker'!A:A,"&lt;="&amp;C7)</f>
        <v>0</v>
      </c>
      <c r="G7" s="8">
        <f>SUMIFS('Daily Tracker'!F:F,'Daily Tracker'!A:A,"&gt;="&amp;B7,'Daily Tracker'!A:A,"&lt;="&amp;C7)</f>
        <v>0</v>
      </c>
      <c r="H7" s="8">
        <f>SUMIFS('Daily Tracker'!G:G,'Daily Tracker'!A:A,"&gt;="&amp;B7,'Daily Tracker'!A:A,"&lt;="&amp;C7)</f>
        <v>0</v>
      </c>
      <c r="I7" s="8">
        <f>SUMIFS('Daily Tracker'!H:H,'Daily Tracker'!A:A,"&gt;="&amp;B7,'Daily Tracker'!A:A,"&lt;="&amp;C7)</f>
        <v>0</v>
      </c>
      <c r="J7" s="8">
        <f>SUMIFS('Daily Tracker'!I:I,'Daily Tracker'!A:A,"&gt;="&amp;B7,'Daily Tracker'!A:A,"&lt;="&amp;C7)</f>
        <v>0</v>
      </c>
    </row>
    <row r="8">
      <c r="A8" s="1" t="s">
        <v>33</v>
      </c>
      <c r="B8" s="5"/>
      <c r="D8" s="8">
        <f>SUMIFS('Daily Tracker'!C:C,'Daily Tracker'!A:A,"&gt;="&amp;B8,'Daily Tracker'!A:A,"&lt;="&amp;C8)</f>
        <v>0</v>
      </c>
      <c r="E8" s="8">
        <f>SUMIFS('Daily Tracker'!D:D,'Daily Tracker'!A:A,"&gt;="&amp;B8,'Daily Tracker'!A:A,"&lt;="&amp;C8)</f>
        <v>0</v>
      </c>
      <c r="F8" s="8">
        <f>SUMIFS('Daily Tracker'!E:E,'Daily Tracker'!A:A,"&gt;="&amp;B8,'Daily Tracker'!A:A,"&lt;="&amp;C8)</f>
        <v>0</v>
      </c>
      <c r="G8" s="8">
        <f>SUMIFS('Daily Tracker'!F:F,'Daily Tracker'!A:A,"&gt;="&amp;B8,'Daily Tracker'!A:A,"&lt;="&amp;C8)</f>
        <v>0</v>
      </c>
      <c r="H8" s="8">
        <f>SUMIFS('Daily Tracker'!G:G,'Daily Tracker'!A:A,"&gt;="&amp;B8,'Daily Tracker'!A:A,"&lt;="&amp;C8)</f>
        <v>0</v>
      </c>
      <c r="I8" s="8">
        <f>SUMIFS('Daily Tracker'!H:H,'Daily Tracker'!A:A,"&gt;="&amp;B8,'Daily Tracker'!A:A,"&lt;="&amp;C8)</f>
        <v>0</v>
      </c>
      <c r="J8" s="8">
        <f>SUMIFS('Daily Tracker'!I:I,'Daily Tracker'!A:A,"&gt;="&amp;B8,'Daily Tracker'!A:A,"&lt;="&amp;C8)</f>
        <v>0</v>
      </c>
    </row>
    <row r="9">
      <c r="A9" s="1" t="s">
        <v>34</v>
      </c>
      <c r="B9" s="5"/>
      <c r="D9" s="8">
        <f>SUMIFS('Daily Tracker'!C:C,'Daily Tracker'!A:A,"&gt;="&amp;B9,'Daily Tracker'!A:A,"&lt;="&amp;C9)</f>
        <v>0</v>
      </c>
      <c r="E9" s="8">
        <f>SUMIFS('Daily Tracker'!D:D,'Daily Tracker'!A:A,"&gt;="&amp;B9,'Daily Tracker'!A:A,"&lt;="&amp;C9)</f>
        <v>0</v>
      </c>
      <c r="F9" s="8">
        <f>SUMIFS('Daily Tracker'!E:E,'Daily Tracker'!A:A,"&gt;="&amp;B9,'Daily Tracker'!A:A,"&lt;="&amp;C9)</f>
        <v>0</v>
      </c>
      <c r="G9" s="8">
        <f>SUMIFS('Daily Tracker'!F:F,'Daily Tracker'!A:A,"&gt;="&amp;B9,'Daily Tracker'!A:A,"&lt;="&amp;C9)</f>
        <v>0</v>
      </c>
      <c r="H9" s="8">
        <f>SUMIFS('Daily Tracker'!G:G,'Daily Tracker'!A:A,"&gt;="&amp;B9,'Daily Tracker'!A:A,"&lt;="&amp;C9)</f>
        <v>0</v>
      </c>
      <c r="I9" s="8">
        <f>SUMIFS('Daily Tracker'!H:H,'Daily Tracker'!A:A,"&gt;="&amp;B9,'Daily Tracker'!A:A,"&lt;="&amp;C9)</f>
        <v>0</v>
      </c>
      <c r="J9" s="8">
        <f>SUMIFS('Daily Tracker'!I:I,'Daily Tracker'!A:A,"&gt;="&amp;B9,'Daily Tracker'!A:A,"&lt;="&amp;C9)</f>
        <v>0</v>
      </c>
    </row>
    <row r="10">
      <c r="A10" s="1" t="s">
        <v>35</v>
      </c>
      <c r="B10" s="5"/>
    </row>
    <row r="11">
      <c r="A11" s="1" t="s">
        <v>36</v>
      </c>
      <c r="B11" s="5"/>
    </row>
    <row r="12">
      <c r="A12" s="1" t="s">
        <v>37</v>
      </c>
      <c r="B12" s="5"/>
    </row>
    <row r="13">
      <c r="A13" s="1" t="s">
        <v>38</v>
      </c>
      <c r="B13" s="5"/>
    </row>
    <row r="14">
      <c r="A14" s="1" t="s">
        <v>39</v>
      </c>
      <c r="B14" s="5"/>
    </row>
    <row r="15">
      <c r="A15" s="1" t="s">
        <v>40</v>
      </c>
      <c r="B15" s="5"/>
    </row>
    <row r="16">
      <c r="A16" s="1" t="s">
        <v>41</v>
      </c>
      <c r="B16" s="5"/>
    </row>
    <row r="17">
      <c r="A17" s="1" t="s">
        <v>42</v>
      </c>
    </row>
    <row r="18">
      <c r="A18" s="1" t="s">
        <v>43</v>
      </c>
    </row>
    <row r="19">
      <c r="A19" s="1" t="s">
        <v>44</v>
      </c>
    </row>
    <row r="20">
      <c r="A20" s="1" t="s">
        <v>45</v>
      </c>
    </row>
    <row r="21">
      <c r="A21" s="1" t="s">
        <v>46</v>
      </c>
    </row>
    <row r="22">
      <c r="A22" s="1" t="s">
        <v>47</v>
      </c>
    </row>
    <row r="23">
      <c r="A23" s="1" t="s">
        <v>48</v>
      </c>
    </row>
    <row r="24">
      <c r="A24" s="1" t="s">
        <v>49</v>
      </c>
    </row>
    <row r="25">
      <c r="A25" s="1" t="s">
        <v>50</v>
      </c>
    </row>
    <row r="26">
      <c r="A26" s="1" t="s">
        <v>51</v>
      </c>
    </row>
    <row r="27">
      <c r="A27" s="1" t="s">
        <v>52</v>
      </c>
    </row>
    <row r="28">
      <c r="A28" s="1" t="s">
        <v>53</v>
      </c>
    </row>
    <row r="29">
      <c r="A29" s="1" t="s">
        <v>54</v>
      </c>
    </row>
    <row r="30">
      <c r="A30" s="1" t="s">
        <v>55</v>
      </c>
    </row>
    <row r="31">
      <c r="A31" s="1" t="s">
        <v>56</v>
      </c>
    </row>
    <row r="32">
      <c r="A32" s="1" t="s">
        <v>57</v>
      </c>
    </row>
    <row r="33">
      <c r="A33" s="1" t="s">
        <v>58</v>
      </c>
    </row>
    <row r="34">
      <c r="A34" s="1" t="s">
        <v>59</v>
      </c>
    </row>
    <row r="35">
      <c r="A35" s="1" t="s">
        <v>60</v>
      </c>
    </row>
    <row r="36">
      <c r="A36" s="1" t="s">
        <v>61</v>
      </c>
    </row>
    <row r="37">
      <c r="A37" s="1" t="s">
        <v>62</v>
      </c>
    </row>
    <row r="38">
      <c r="A38" s="1" t="s">
        <v>63</v>
      </c>
    </row>
    <row r="39">
      <c r="A39" s="1" t="s">
        <v>64</v>
      </c>
    </row>
    <row r="40">
      <c r="A40" s="1" t="s">
        <v>65</v>
      </c>
    </row>
    <row r="41">
      <c r="A41" s="1" t="s">
        <v>66</v>
      </c>
    </row>
    <row r="42">
      <c r="A42" s="1" t="s">
        <v>67</v>
      </c>
    </row>
    <row r="43">
      <c r="A43" s="1" t="s">
        <v>68</v>
      </c>
    </row>
    <row r="44">
      <c r="A44" s="1" t="s">
        <v>69</v>
      </c>
    </row>
    <row r="45">
      <c r="A45" s="1" t="s">
        <v>70</v>
      </c>
    </row>
    <row r="46">
      <c r="A46" s="1" t="s">
        <v>71</v>
      </c>
    </row>
    <row r="47">
      <c r="A47" s="1" t="s">
        <v>72</v>
      </c>
    </row>
    <row r="48">
      <c r="A48" s="1" t="s">
        <v>73</v>
      </c>
    </row>
    <row r="49">
      <c r="A49" s="1" t="s">
        <v>74</v>
      </c>
    </row>
    <row r="50">
      <c r="A50" s="1" t="s">
        <v>75</v>
      </c>
    </row>
    <row r="51">
      <c r="A51" s="1" t="s">
        <v>76</v>
      </c>
    </row>
    <row r="52">
      <c r="A52" s="1" t="s">
        <v>77</v>
      </c>
    </row>
    <row r="53">
      <c r="A53" s="1" t="s">
        <v>78</v>
      </c>
    </row>
    <row r="54">
      <c r="A54" s="1" t="s">
        <v>79</v>
      </c>
    </row>
    <row r="55">
      <c r="A55" s="1" t="s">
        <v>80</v>
      </c>
    </row>
    <row r="56">
      <c r="A56" s="1" t="s">
        <v>81</v>
      </c>
    </row>
    <row r="57">
      <c r="A57" s="1" t="s">
        <v>82</v>
      </c>
    </row>
    <row r="58">
      <c r="A58" s="1" t="s">
        <v>83</v>
      </c>
    </row>
    <row r="59">
      <c r="A59" s="1" t="s">
        <v>84</v>
      </c>
    </row>
    <row r="60">
      <c r="A60" s="1" t="s">
        <v>85</v>
      </c>
    </row>
    <row r="61">
      <c r="A61" s="1" t="s">
        <v>86</v>
      </c>
    </row>
    <row r="62">
      <c r="A62" s="1" t="s">
        <v>87</v>
      </c>
    </row>
    <row r="63">
      <c r="A63" s="1" t="s">
        <v>88</v>
      </c>
    </row>
    <row r="64">
      <c r="A64" s="1" t="s">
        <v>89</v>
      </c>
    </row>
    <row r="65">
      <c r="A65" s="1" t="s">
        <v>90</v>
      </c>
    </row>
    <row r="66">
      <c r="A66" s="1" t="s">
        <v>91</v>
      </c>
    </row>
    <row r="67">
      <c r="A67" s="1" t="s">
        <v>92</v>
      </c>
    </row>
    <row r="68">
      <c r="A68" s="1" t="s">
        <v>93</v>
      </c>
    </row>
    <row r="69">
      <c r="A69" s="1" t="s">
        <v>94</v>
      </c>
    </row>
    <row r="70">
      <c r="A70" s="1" t="s">
        <v>95</v>
      </c>
    </row>
    <row r="71">
      <c r="A71" s="1" t="s">
        <v>96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63"/>
    <col customWidth="1" min="8" max="8" width="15.63"/>
  </cols>
  <sheetData>
    <row r="1">
      <c r="A1" s="1" t="s">
        <v>14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>
      <c r="A2" s="1" t="s">
        <v>20</v>
      </c>
      <c r="B2" s="8">
        <f>IFERROR(__xludf.DUMMYFUNCTION("SUM(FILTER('Daily Tracker'!C:C,TEXT('Daily Tracker'!A:A,""mmmm"")=A2))"),124.0)</f>
        <v>124</v>
      </c>
      <c r="C2" s="8">
        <f>IFERROR(__xludf.DUMMYFUNCTION("SUM(FILTER('Daily Tracker'!D:D,TEXT('Daily Tracker'!A:A,""mmmm"")=A2))"),25.0)</f>
        <v>25</v>
      </c>
      <c r="D2" s="8">
        <f>IFERROR(__xludf.DUMMYFUNCTION("SUM(FILTER('Daily Tracker'!E:E,TEXT('Daily Tracker'!A:A,""mmmm"")=A2))"),48.0)</f>
        <v>48</v>
      </c>
      <c r="E2" s="8">
        <f>IFERROR(__xludf.DUMMYFUNCTION("SUM(FILTER('Daily Tracker'!F:F,TEXT('Daily Tracker'!A:A,""mmmm"")=A2))"),22.0)</f>
        <v>22</v>
      </c>
      <c r="F2" s="8">
        <f>IFERROR(__xludf.DUMMYFUNCTION("SUM(FILTER('Daily Tracker'!G:G,TEXT('Daily Tracker'!A:A,""mmmm"")=A2))"),76.0)</f>
        <v>76</v>
      </c>
      <c r="G2" s="8">
        <f>IFERROR(__xludf.DUMMYFUNCTION("SUM(FILTER('Daily Tracker'!H:H,TEXT('Daily Tracker'!A:A,""mmmm"")=A2))"),9.0)</f>
        <v>9</v>
      </c>
      <c r="H2" s="8">
        <f>IFERROR(__xludf.DUMMYFUNCTION("SUM(FILTER('Daily Tracker'!I:I,TEXT('Daily Tracker'!A:A,""mmmm"")=A2))"),0.0)</f>
        <v>0</v>
      </c>
    </row>
    <row r="3">
      <c r="A3" s="1" t="s">
        <v>24</v>
      </c>
      <c r="B3" s="8">
        <f>IFERROR(__xludf.DUMMYFUNCTION("SUM(FILTER('Daily Tracker'!C:C,TEXT('Daily Tracker'!A:A,""mmmm"")=A3))"),0.0)</f>
        <v>0</v>
      </c>
      <c r="C3" s="8">
        <f>IFERROR(__xludf.DUMMYFUNCTION("SUM(FILTER('Daily Tracker'!D:D,TEXT('Daily Tracker'!A:A,""mmmm"")=A3))"),0.0)</f>
        <v>0</v>
      </c>
      <c r="D3" s="8">
        <f>IFERROR(__xludf.DUMMYFUNCTION("SUM(FILTER('Daily Tracker'!E:E,TEXT('Daily Tracker'!A:A,""mmmm"")=A3))"),0.0)</f>
        <v>0</v>
      </c>
      <c r="E3" s="8">
        <f>IFERROR(__xludf.DUMMYFUNCTION("SUM(FILTER('Daily Tracker'!F:F,TEXT('Daily Tracker'!A:A,""mmmm"")=A3))"),0.0)</f>
        <v>0</v>
      </c>
      <c r="F3" s="8">
        <f>IFERROR(__xludf.DUMMYFUNCTION("SUM(FILTER('Daily Tracker'!G:G,TEXT('Daily Tracker'!A:A,""mmmm"")=A3))"),0.0)</f>
        <v>0</v>
      </c>
      <c r="G3" s="8">
        <f>IFERROR(__xludf.DUMMYFUNCTION("SUM(FILTER('Daily Tracker'!H:H,TEXT('Daily Tracker'!A:A,""mmmm"")=A3))"),0.0)</f>
        <v>0</v>
      </c>
      <c r="H3" s="8">
        <f>IFERROR(__xludf.DUMMYFUNCTION("SUM(FILTER('Daily Tracker'!I:I,TEXT('Daily Tracker'!A:A,""mmmm"")=A3))"),0.0)</f>
        <v>0</v>
      </c>
    </row>
    <row r="4">
      <c r="A4" s="1" t="s">
        <v>25</v>
      </c>
      <c r="B4" s="8">
        <f>IFERROR(__xludf.DUMMYFUNCTION("SUM(FILTER('Daily Tracker'!C:C,TEXT('Daily Tracker'!A:A,""mmmm"")=A4))"),0.0)</f>
        <v>0</v>
      </c>
      <c r="C4" s="8">
        <f>IFERROR(__xludf.DUMMYFUNCTION("SUM(FILTER('Daily Tracker'!D:D,TEXT('Daily Tracker'!A:A,""mmmm"")=A4))"),0.0)</f>
        <v>0</v>
      </c>
      <c r="D4" s="8">
        <f>IFERROR(__xludf.DUMMYFUNCTION("SUM(FILTER('Daily Tracker'!E:E,TEXT('Daily Tracker'!A:A,""mmmm"")=A4))"),0.0)</f>
        <v>0</v>
      </c>
      <c r="E4" s="8">
        <f>IFERROR(__xludf.DUMMYFUNCTION("SUM(FILTER('Daily Tracker'!F:F,TEXT('Daily Tracker'!A:A,""mmmm"")=A4))"),0.0)</f>
        <v>0</v>
      </c>
      <c r="F4" s="8">
        <f>IFERROR(__xludf.DUMMYFUNCTION("SUM(FILTER('Daily Tracker'!G:G,TEXT('Daily Tracker'!A:A,""mmmm"")=A4))"),0.0)</f>
        <v>0</v>
      </c>
      <c r="G4" s="8">
        <f>IFERROR(__xludf.DUMMYFUNCTION("SUM(FILTER('Daily Tracker'!H:H,TEXT('Daily Tracker'!A:A,""mmmm"")=A4))"),0.0)</f>
        <v>0</v>
      </c>
      <c r="H4" s="8">
        <f>IFERROR(__xludf.DUMMYFUNCTION("SUM(FILTER('Daily Tracker'!I:I,TEXT('Daily Tracker'!A:A,""mmmm"")=A4))"),0.0)</f>
        <v>0</v>
      </c>
    </row>
    <row r="5">
      <c r="A5" s="1" t="s">
        <v>27</v>
      </c>
      <c r="B5" s="8">
        <f>IFERROR(__xludf.DUMMYFUNCTION("SUM(FILTER('Daily Tracker'!C:C,TEXT('Daily Tracker'!A:A,""mmmm"")=A5))"),0.0)</f>
        <v>0</v>
      </c>
      <c r="C5" s="8">
        <f>IFERROR(__xludf.DUMMYFUNCTION("SUM(FILTER('Daily Tracker'!D:D,TEXT('Daily Tracker'!A:A,""mmmm"")=A5))"),0.0)</f>
        <v>0</v>
      </c>
      <c r="D5" s="8">
        <f>IFERROR(__xludf.DUMMYFUNCTION("SUM(FILTER('Daily Tracker'!E:E,TEXT('Daily Tracker'!A:A,""mmmm"")=A5))"),0.0)</f>
        <v>0</v>
      </c>
      <c r="E5" s="8">
        <f>IFERROR(__xludf.DUMMYFUNCTION("SUM(FILTER('Daily Tracker'!F:F,TEXT('Daily Tracker'!A:A,""mmmm"")=A5))"),0.0)</f>
        <v>0</v>
      </c>
      <c r="F5" s="8">
        <f>IFERROR(__xludf.DUMMYFUNCTION("SUM(FILTER('Daily Tracker'!G:G,TEXT('Daily Tracker'!A:A,""mmmm"")=A5))"),0.0)</f>
        <v>0</v>
      </c>
      <c r="G5" s="8">
        <f>IFERROR(__xludf.DUMMYFUNCTION("SUM(FILTER('Daily Tracker'!H:H,TEXT('Daily Tracker'!A:A,""mmmm"")=A5))"),0.0)</f>
        <v>0</v>
      </c>
      <c r="H5" s="8">
        <f>IFERROR(__xludf.DUMMYFUNCTION("SUM(FILTER('Daily Tracker'!I:I,TEXT('Daily Tracker'!A:A,""mmmm"")=A5))"),0.0)</f>
        <v>0</v>
      </c>
    </row>
    <row r="6">
      <c r="A6" s="1" t="s">
        <v>28</v>
      </c>
      <c r="B6" s="8">
        <f>IFERROR(__xludf.DUMMYFUNCTION("SUM(FILTER('Daily Tracker'!C:C,TEXT('Daily Tracker'!A:A,""mmmm"")=A6))"),0.0)</f>
        <v>0</v>
      </c>
      <c r="C6" s="8">
        <f>IFERROR(__xludf.DUMMYFUNCTION("SUM(FILTER('Daily Tracker'!D:D,TEXT('Daily Tracker'!A:A,""mmmm"")=A6))"),0.0)</f>
        <v>0</v>
      </c>
      <c r="D6" s="8">
        <f>IFERROR(__xludf.DUMMYFUNCTION("SUM(FILTER('Daily Tracker'!E:E,TEXT('Daily Tracker'!A:A,""mmmm"")=A6))"),0.0)</f>
        <v>0</v>
      </c>
      <c r="E6" s="8">
        <f>IFERROR(__xludf.DUMMYFUNCTION("SUM(FILTER('Daily Tracker'!F:F,TEXT('Daily Tracker'!A:A,""mmmm"")=A6))"),0.0)</f>
        <v>0</v>
      </c>
      <c r="F6" s="8">
        <f>IFERROR(__xludf.DUMMYFUNCTION("SUM(FILTER('Daily Tracker'!G:G,TEXT('Daily Tracker'!A:A,""mmmm"")=A6))"),0.0)</f>
        <v>0</v>
      </c>
      <c r="G6" s="8">
        <f>IFERROR(__xludf.DUMMYFUNCTION("SUM(FILTER('Daily Tracker'!H:H,TEXT('Daily Tracker'!A:A,""mmmm"")=A6))"),0.0)</f>
        <v>0</v>
      </c>
      <c r="H6" s="8">
        <f>IFERROR(__xludf.DUMMYFUNCTION("SUM(FILTER('Daily Tracker'!I:I,TEXT('Daily Tracker'!A:A,""mmmm"")=A6))"),0.0)</f>
        <v>0</v>
      </c>
    </row>
    <row r="7">
      <c r="A7" s="1" t="s">
        <v>29</v>
      </c>
      <c r="B7" s="8">
        <f>IFERROR(__xludf.DUMMYFUNCTION("SUM(FILTER('Daily Tracker'!C:C,TEXT('Daily Tracker'!A:A,""mmmm"")=A7))"),0.0)</f>
        <v>0</v>
      </c>
      <c r="C7" s="8">
        <f>IFERROR(__xludf.DUMMYFUNCTION("SUM(FILTER('Daily Tracker'!D:D,TEXT('Daily Tracker'!A:A,""mmmm"")=A7))"),0.0)</f>
        <v>0</v>
      </c>
      <c r="D7" s="8">
        <f>IFERROR(__xludf.DUMMYFUNCTION("SUM(FILTER('Daily Tracker'!E:E,TEXT('Daily Tracker'!A:A,""mmmm"")=A7))"),0.0)</f>
        <v>0</v>
      </c>
      <c r="E7" s="8">
        <f>IFERROR(__xludf.DUMMYFUNCTION("SUM(FILTER('Daily Tracker'!F:F,TEXT('Daily Tracker'!A:A,""mmmm"")=A7))"),0.0)</f>
        <v>0</v>
      </c>
      <c r="F7" s="8">
        <f>IFERROR(__xludf.DUMMYFUNCTION("SUM(FILTER('Daily Tracker'!G:G,TEXT('Daily Tracker'!A:A,""mmmm"")=A7))"),0.0)</f>
        <v>0</v>
      </c>
      <c r="G7" s="8">
        <f>IFERROR(__xludf.DUMMYFUNCTION("SUM(FILTER('Daily Tracker'!H:H,TEXT('Daily Tracker'!A:A,""mmmm"")=A7))"),0.0)</f>
        <v>0</v>
      </c>
      <c r="H7" s="8">
        <f>IFERROR(__xludf.DUMMYFUNCTION("SUM(FILTER('Daily Tracker'!I:I,TEXT('Daily Tracker'!A:A,""mmmm"")=A7))"),0.0)</f>
        <v>0</v>
      </c>
    </row>
  </sheetData>
  <drawing r:id="rId1"/>
</worksheet>
</file>